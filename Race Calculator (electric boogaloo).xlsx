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e here" sheetId="1" r:id="rId4"/>
    <sheet state="visible" name="Vodka " sheetId="2" r:id="rId5"/>
    <sheet state="visible" name="Tamamo Cross" sheetId="3" r:id="rId6"/>
    <sheet state="visible" name="Point Flag (Parent Tosen Jordan" sheetId="4" r:id="rId7"/>
  </sheets>
  <definedNames/>
  <calcPr/>
</workbook>
</file>

<file path=xl/sharedStrings.xml><?xml version="1.0" encoding="utf-8"?>
<sst xmlns="http://schemas.openxmlformats.org/spreadsheetml/2006/main" count="382" uniqueCount="57">
  <si>
    <t xml:space="preserve">Legacy Calculator </t>
  </si>
  <si>
    <t>Stat Calculator</t>
  </si>
  <si>
    <t>Use after post legacies, its a continuation</t>
  </si>
  <si>
    <t>Original Stats</t>
  </si>
  <si>
    <t>Stat Bonuses</t>
  </si>
  <si>
    <t>Legacy 1</t>
  </si>
  <si>
    <t>Legacy 2</t>
  </si>
  <si>
    <t xml:space="preserve">Stat Post Legacies </t>
  </si>
  <si>
    <t>Final Wanted Stat</t>
  </si>
  <si>
    <t>Points used</t>
  </si>
  <si>
    <t>Speed</t>
  </si>
  <si>
    <t>Stamina</t>
  </si>
  <si>
    <t>Power</t>
  </si>
  <si>
    <t>Guts</t>
  </si>
  <si>
    <t>Wits</t>
  </si>
  <si>
    <t>Total</t>
  </si>
  <si>
    <t>MAX: 550</t>
  </si>
  <si>
    <t>MAX: 300</t>
  </si>
  <si>
    <t>MAX: 1450</t>
  </si>
  <si>
    <t>MAX: 3000, ±50 at here</t>
  </si>
  <si>
    <t>Aptitude Calculator</t>
  </si>
  <si>
    <t>Choose 1</t>
  </si>
  <si>
    <t>Base Uma</t>
  </si>
  <si>
    <t>Turf</t>
  </si>
  <si>
    <t>A</t>
  </si>
  <si>
    <t>Dirt</t>
  </si>
  <si>
    <t>G</t>
  </si>
  <si>
    <t>Instructions:</t>
  </si>
  <si>
    <t>1. Create a copy of this spreadsheet (file -&gt; make a copy).</t>
  </si>
  <si>
    <t>Sprint</t>
  </si>
  <si>
    <t>B</t>
  </si>
  <si>
    <t>D</t>
  </si>
  <si>
    <t>2. Put number of points you buy in the empty cells. (Go from Left to Right)</t>
  </si>
  <si>
    <t>Mile</t>
  </si>
  <si>
    <t>3. The calculator does the rest!</t>
  </si>
  <si>
    <t>Medium</t>
  </si>
  <si>
    <t>C</t>
  </si>
  <si>
    <t>4. Input Aptitude (If base Uma and both Inspirations have A in an aptitude, it becomes S)</t>
  </si>
  <si>
    <t>Long</t>
  </si>
  <si>
    <t>E</t>
  </si>
  <si>
    <t>5. Take a screenshot then register</t>
  </si>
  <si>
    <t>6. And most importantly, do not disturb the yellow boxes!</t>
  </si>
  <si>
    <t>Front</t>
  </si>
  <si>
    <t>Note: 3000 point for trainees, +50 for every time they win the selected race irl.</t>
  </si>
  <si>
    <t>Pace</t>
  </si>
  <si>
    <t>Late</t>
  </si>
  <si>
    <t>End</t>
  </si>
  <si>
    <t>Stat Guide:</t>
  </si>
  <si>
    <t>Only 3 A's will result to 'S'</t>
  </si>
  <si>
    <t>S</t>
  </si>
  <si>
    <t>other than that, the highest stat will take over</t>
  </si>
  <si>
    <t>Race calculator (Point Buy)</t>
  </si>
  <si>
    <t>Stat Post Legacies</t>
  </si>
  <si>
    <t>F</t>
  </si>
  <si>
    <t>2. Put number of points you buy in the empty cells. (Go from Right to Left)</t>
  </si>
  <si>
    <t>Choose 1 to raise</t>
  </si>
  <si>
    <t>In this example, 3050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</si>
</sst>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Arial"/>
      <scheme val="minor"/>
    </font>
    <font>
      <sz val="12.0"/>
      <color rgb="FF070707"/>
      <name val="&quot;Open Sans&quot;"/>
    </font>
    <font>
      <b/>
      <color rgb="FFFFFF00"/>
      <name val="Arial"/>
      <scheme val="minor"/>
    </font>
    <font>
      <color rgb="FFFFFF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color theme="1"/>
      <name val="Arial"/>
    </font>
    <font>
      <b/>
      <sz val="14.0"/>
      <color theme="1"/>
      <name val="Arial"/>
    </font>
    <font>
      <b/>
      <sz val="14.0"/>
      <color theme="1"/>
      <name val="Arial"/>
      <scheme val="minor"/>
    </font>
    <font>
      <b/>
      <sz val="2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5" numFmtId="0" xfId="0" applyBorder="1" applyFont="1"/>
    <xf borderId="2" fillId="2" fontId="6" numFmtId="0" xfId="0" applyAlignment="1" applyBorder="1" applyFont="1">
      <alignment readingOrder="0"/>
    </xf>
    <xf borderId="2" fillId="0" fontId="7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2" fillId="4" fontId="6" numFmtId="0" xfId="0" applyAlignment="1" applyBorder="1" applyFill="1" applyFont="1">
      <alignment readingOrder="0"/>
    </xf>
    <xf borderId="2" fillId="5" fontId="8" numFmtId="0" xfId="0" applyAlignment="1" applyBorder="1" applyFill="1" applyFont="1">
      <alignment horizontal="center" readingOrder="0"/>
    </xf>
    <xf borderId="2" fillId="5" fontId="8" numFmtId="0" xfId="0" applyAlignment="1" applyBorder="1" applyFont="1">
      <alignment horizontal="center"/>
    </xf>
    <xf borderId="2" fillId="6" fontId="9" numFmtId="0" xfId="0" applyAlignment="1" applyBorder="1" applyFill="1" applyFont="1">
      <alignment horizontal="center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horizontal="center" vertical="bottom"/>
    </xf>
    <xf borderId="2" fillId="7" fontId="12" numFmtId="0" xfId="0" applyAlignment="1" applyBorder="1" applyFill="1" applyFont="1">
      <alignment horizontal="center" readingOrder="0" vertical="bottom"/>
    </xf>
    <xf borderId="2" fillId="0" fontId="12" numFmtId="0" xfId="0" applyAlignment="1" applyBorder="1" applyFont="1">
      <alignment horizontal="center" vertical="bottom"/>
    </xf>
    <xf borderId="0" fillId="0" fontId="4" numFmtId="0" xfId="0" applyFont="1"/>
    <xf borderId="2" fillId="0" fontId="10" numFmtId="0" xfId="0" applyAlignment="1" applyBorder="1" applyFont="1">
      <alignment horizontal="center" readingOrder="0" vertical="bottom"/>
    </xf>
    <xf borderId="2" fillId="3" fontId="10" numFmtId="0" xfId="0" applyAlignment="1" applyBorder="1" applyFont="1">
      <alignment horizontal="center" readingOrder="0" vertical="bottom"/>
    </xf>
    <xf borderId="0" fillId="0" fontId="13" numFmtId="0" xfId="0" applyAlignment="1" applyFont="1">
      <alignment vertical="bottom"/>
    </xf>
    <xf borderId="0" fillId="8" fontId="12" numFmtId="0" xfId="0" applyAlignment="1" applyFill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0" fontId="13" numFmtId="0" xfId="0" applyAlignment="1" applyFont="1">
      <alignment readingOrder="0" vertical="bottom"/>
    </xf>
    <xf borderId="0" fillId="9" fontId="12" numFmtId="0" xfId="0" applyAlignment="1" applyFill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1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15" numFmtId="0" xfId="0" applyAlignment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2" fillId="2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/>
    </xf>
    <xf borderId="2" fillId="4" fontId="2" numFmtId="0" xfId="0" applyAlignment="1" applyBorder="1" applyFont="1">
      <alignment readingOrder="0"/>
    </xf>
    <xf borderId="0" fillId="0" fontId="10" numFmtId="0" xfId="0" applyAlignment="1" applyFont="1">
      <alignment horizontal="left" vertical="bottom"/>
    </xf>
    <xf borderId="2" fillId="7" fontId="10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horizontal="center" vertical="bottom"/>
    </xf>
    <xf borderId="0" fillId="8" fontId="10" numFmtId="0" xfId="0" applyAlignment="1" applyFont="1">
      <alignment horizontal="center" readingOrder="0" vertical="bottom"/>
    </xf>
    <xf borderId="0" fillId="9" fontId="10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4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5" fillId="0" fontId="5" numFmtId="0" xfId="0" applyBorder="1" applyFont="1"/>
    <xf borderId="3" fillId="0" fontId="5" numFmtId="0" xfId="0" applyBorder="1" applyFont="1"/>
    <xf borderId="6" fillId="0" fontId="2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2" fillId="5" fontId="9" numFmtId="0" xfId="0" applyAlignment="1" applyBorder="1" applyFont="1">
      <alignment horizontal="center"/>
    </xf>
    <xf borderId="3" fillId="5" fontId="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6.13"/>
    <col customWidth="1" min="3" max="3" width="19.13"/>
    <col customWidth="1" min="4" max="4" width="16.25"/>
    <col customWidth="1" min="6" max="6" width="16.0"/>
    <col customWidth="1" min="7" max="7" width="15.63"/>
    <col customWidth="1" min="8" max="8" width="18.38"/>
    <col customWidth="1" min="9" max="9" width="12.13"/>
    <col customWidth="1" min="10" max="10" width="15.88"/>
    <col customWidth="1" min="14" max="14" width="8.63"/>
  </cols>
  <sheetData>
    <row r="1" ht="30.0" customHeight="1">
      <c r="A1" s="1" t="s">
        <v>0</v>
      </c>
    </row>
    <row r="2">
      <c r="B2" s="2"/>
    </row>
    <row r="3" ht="27.75" customHeight="1">
      <c r="A3" s="3" t="s">
        <v>1</v>
      </c>
    </row>
    <row r="4">
      <c r="B4" s="2"/>
      <c r="C4" s="4" t="s">
        <v>2</v>
      </c>
    </row>
    <row r="5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</row>
    <row r="6">
      <c r="A6" s="6"/>
      <c r="B6" s="7"/>
      <c r="C6" s="7"/>
      <c r="D6" s="7"/>
      <c r="E6" s="7"/>
      <c r="F6" s="7"/>
      <c r="G6" s="7"/>
      <c r="H6" s="7"/>
    </row>
    <row r="7">
      <c r="A7" s="8" t="s">
        <v>10</v>
      </c>
      <c r="B7" s="9">
        <v>122.0</v>
      </c>
      <c r="C7" s="10">
        <v>150.0</v>
      </c>
      <c r="D7" s="10">
        <v>100.0</v>
      </c>
      <c r="E7" s="10">
        <v>100.0</v>
      </c>
      <c r="F7" s="11">
        <f t="shared" ref="F7:F11" si="1">LET(s,sum(B7:E7),IF(s=0," ",s))</f>
        <v>472</v>
      </c>
      <c r="G7" s="10">
        <v>1050.0</v>
      </c>
      <c r="H7" s="11">
        <f t="shared" ref="H7:H11" si="2">LET(
 s,F7,
 e,G7,
 hi,{500;900;1000;1100;1200},
 lo,{0;500;900;1000;1100},
 r,{1;2;3;4;5},
 IF(e&lt;=s,0,
  SUM(
   MAP(hi,lo,r,
    LAMBDA(h,l,rate,
     MAX(0,MIN(e,h)-MAX(s,l))*rate
    )
   )
  )
 )
)</f>
        <v>1328</v>
      </c>
    </row>
    <row r="8">
      <c r="A8" s="8" t="s">
        <v>11</v>
      </c>
      <c r="B8" s="9">
        <v>118.0</v>
      </c>
      <c r="C8" s="10">
        <v>100.0</v>
      </c>
      <c r="D8" s="10">
        <v>0.0</v>
      </c>
      <c r="E8" s="10">
        <v>0.0</v>
      </c>
      <c r="F8" s="11">
        <f t="shared" si="1"/>
        <v>218</v>
      </c>
      <c r="G8" s="10">
        <v>655.0</v>
      </c>
      <c r="H8" s="11">
        <f t="shared" si="2"/>
        <v>592</v>
      </c>
    </row>
    <row r="9">
      <c r="A9" s="8" t="s">
        <v>12</v>
      </c>
      <c r="B9" s="9">
        <v>90.0</v>
      </c>
      <c r="C9" s="10">
        <v>50.0</v>
      </c>
      <c r="D9" s="10">
        <v>0.0</v>
      </c>
      <c r="E9" s="10">
        <v>100.0</v>
      </c>
      <c r="F9" s="11">
        <f t="shared" si="1"/>
        <v>240</v>
      </c>
      <c r="G9" s="10">
        <v>705.0</v>
      </c>
      <c r="H9" s="11">
        <f t="shared" si="2"/>
        <v>670</v>
      </c>
    </row>
    <row r="10">
      <c r="A10" s="8" t="s">
        <v>13</v>
      </c>
      <c r="B10" s="9">
        <v>108.0</v>
      </c>
      <c r="C10" s="10">
        <v>0.0</v>
      </c>
      <c r="D10" s="10">
        <v>100.0</v>
      </c>
      <c r="E10" s="10">
        <v>0.0</v>
      </c>
      <c r="F10" s="11">
        <f t="shared" si="1"/>
        <v>208</v>
      </c>
      <c r="G10" s="10">
        <v>465.0</v>
      </c>
      <c r="H10" s="11">
        <f t="shared" si="2"/>
        <v>257</v>
      </c>
    </row>
    <row r="11">
      <c r="A11" s="8" t="s">
        <v>14</v>
      </c>
      <c r="B11" s="9">
        <v>112.0</v>
      </c>
      <c r="C11" s="10">
        <v>0.0</v>
      </c>
      <c r="D11" s="10">
        <v>100.0</v>
      </c>
      <c r="E11" s="10">
        <v>100.0</v>
      </c>
      <c r="F11" s="11">
        <f t="shared" si="1"/>
        <v>312</v>
      </c>
      <c r="G11" s="10">
        <v>465.0</v>
      </c>
      <c r="H11" s="11">
        <f t="shared" si="2"/>
        <v>153</v>
      </c>
    </row>
    <row r="12">
      <c r="A12" s="12" t="s">
        <v>15</v>
      </c>
      <c r="B12" s="13">
        <f t="shared" ref="B12:H12" si="3">LET(s,sum(B7:B11),IF(s=0," ",s))</f>
        <v>550</v>
      </c>
      <c r="C12" s="14">
        <f t="shared" si="3"/>
        <v>300</v>
      </c>
      <c r="D12" s="14">
        <f t="shared" si="3"/>
        <v>300</v>
      </c>
      <c r="E12" s="14">
        <f t="shared" si="3"/>
        <v>300</v>
      </c>
      <c r="F12" s="15">
        <f t="shared" si="3"/>
        <v>1450</v>
      </c>
      <c r="G12" s="14">
        <f t="shared" si="3"/>
        <v>3340</v>
      </c>
      <c r="H12" s="13">
        <f t="shared" si="3"/>
        <v>3000</v>
      </c>
    </row>
    <row r="13">
      <c r="A13" s="16"/>
      <c r="B13" s="4" t="s">
        <v>16</v>
      </c>
      <c r="C13" s="4" t="s">
        <v>17</v>
      </c>
      <c r="D13" s="4" t="s">
        <v>17</v>
      </c>
      <c r="E13" s="4" t="s">
        <v>17</v>
      </c>
      <c r="F13" s="4" t="s">
        <v>18</v>
      </c>
      <c r="H13" s="17" t="s">
        <v>19</v>
      </c>
    </row>
    <row r="14">
      <c r="A14" s="18" t="s">
        <v>20</v>
      </c>
      <c r="G14" s="4"/>
    </row>
    <row r="15">
      <c r="A15" s="19" t="s">
        <v>21</v>
      </c>
      <c r="B15" s="20" t="s">
        <v>22</v>
      </c>
      <c r="C15" s="20" t="s">
        <v>5</v>
      </c>
      <c r="D15" s="20" t="s">
        <v>6</v>
      </c>
      <c r="E15" s="20" t="s">
        <v>15</v>
      </c>
      <c r="F15" s="21"/>
      <c r="I15" s="4"/>
    </row>
    <row r="16">
      <c r="A16" s="20" t="s">
        <v>23</v>
      </c>
      <c r="B16" s="22" t="s">
        <v>24</v>
      </c>
      <c r="C16" s="22" t="s">
        <v>24</v>
      </c>
      <c r="D16" s="22" t="s">
        <v>24</v>
      </c>
      <c r="E16" s="23" t="str">
        <f t="shared" ref="E16:E17" si="4">LET(
  ranks,{"G";"F";"E";"D";"C";"B";"A";"S"},
  nums,{1;2;3;4;5;6;7;8},
  vC,IF(D16=0,0,INDEX(nums,MATCH(D16,ranks,0))),
  vD,IF(C16=0,0,INDEX(nums,MATCH(C16,ranks,0))),
  vE,IF(B16=0,0,INDEX(nums,MATCH(B16,ranks,0))),
  IF(
    OR(D16=0,C16=0,B16=0),
    "",
    IF(
      AND(vC=vD,vD=vE),
      INDEX(ranks,MIN(vC+1,8)),
      INDEX(ranks,MAX(vC,vD,vE))
    )
  )
)</f>
        <v>S</v>
      </c>
    </row>
    <row r="17">
      <c r="A17" s="20" t="s">
        <v>25</v>
      </c>
      <c r="B17" s="22" t="s">
        <v>26</v>
      </c>
      <c r="C17" s="22" t="s">
        <v>26</v>
      </c>
      <c r="D17" s="22" t="s">
        <v>26</v>
      </c>
      <c r="E17" s="23" t="str">
        <f t="shared" si="4"/>
        <v>F</v>
      </c>
      <c r="G17" s="24" t="s">
        <v>27</v>
      </c>
      <c r="H17" s="24"/>
      <c r="I17" s="24"/>
      <c r="J17" s="24"/>
      <c r="K17" s="24"/>
      <c r="L17" s="24"/>
      <c r="M17" s="24"/>
      <c r="N17" s="16"/>
    </row>
    <row r="18">
      <c r="A18" s="25" t="s">
        <v>21</v>
      </c>
      <c r="B18" s="26"/>
      <c r="C18" s="26"/>
      <c r="D18" s="26"/>
      <c r="E18" s="26"/>
      <c r="G18" s="24" t="s">
        <v>28</v>
      </c>
    </row>
    <row r="19">
      <c r="A19" s="20" t="s">
        <v>29</v>
      </c>
      <c r="B19" s="22" t="s">
        <v>30</v>
      </c>
      <c r="C19" s="22" t="s">
        <v>24</v>
      </c>
      <c r="D19" s="22" t="s">
        <v>31</v>
      </c>
      <c r="E19" s="23" t="str">
        <f t="shared" ref="E19:E22" si="5">LET(
  ranks,{"G";"F";"E";"D";"C";"B";"A";"S"},
  nums,{1;2;3;4;5;6;7;8},
  vC,IF(D19=0,0,INDEX(nums,MATCH(D19,ranks,0))),
  vD,IF(C19=0,0,INDEX(nums,MATCH(C19,ranks,0))),
  vE,IF(B19=0,0,INDEX(nums,MATCH(B19,ranks,0))),
  IF(
    OR(D19=0,C19=0,B19=0),
    "",
    IF(
      AND(vC=vD,vD=vE),
      INDEX(ranks,MIN(vC+1,8)),
      INDEX(ranks,MAX(vC,vD,vE))
    )
  )
)</f>
        <v>A</v>
      </c>
      <c r="G19" s="27" t="s">
        <v>32</v>
      </c>
      <c r="N19" s="27"/>
    </row>
    <row r="20">
      <c r="A20" s="20" t="s">
        <v>33</v>
      </c>
      <c r="B20" s="22" t="s">
        <v>24</v>
      </c>
      <c r="C20" s="22" t="s">
        <v>24</v>
      </c>
      <c r="D20" s="22" t="s">
        <v>24</v>
      </c>
      <c r="E20" s="23" t="str">
        <f t="shared" si="5"/>
        <v>S</v>
      </c>
      <c r="G20" s="27" t="s">
        <v>34</v>
      </c>
    </row>
    <row r="21">
      <c r="A21" s="20" t="s">
        <v>35</v>
      </c>
      <c r="B21" s="22" t="s">
        <v>30</v>
      </c>
      <c r="C21" s="22" t="s">
        <v>36</v>
      </c>
      <c r="D21" s="22" t="s">
        <v>24</v>
      </c>
      <c r="E21" s="23" t="str">
        <f t="shared" si="5"/>
        <v>A</v>
      </c>
      <c r="F21" s="16"/>
      <c r="G21" s="24" t="s">
        <v>37</v>
      </c>
    </row>
    <row r="22">
      <c r="A22" s="20" t="s">
        <v>38</v>
      </c>
      <c r="B22" s="22" t="s">
        <v>39</v>
      </c>
      <c r="C22" s="22" t="s">
        <v>26</v>
      </c>
      <c r="D22" s="22" t="s">
        <v>26</v>
      </c>
      <c r="E22" s="23" t="str">
        <f t="shared" si="5"/>
        <v>E</v>
      </c>
      <c r="F22" s="16"/>
      <c r="G22" s="27" t="s">
        <v>40</v>
      </c>
    </row>
    <row r="23">
      <c r="A23" s="28" t="s">
        <v>21</v>
      </c>
      <c r="B23" s="26"/>
      <c r="C23" s="29"/>
      <c r="D23" s="26"/>
      <c r="E23" s="26"/>
      <c r="F23" s="16"/>
      <c r="G23" s="30" t="s">
        <v>41</v>
      </c>
    </row>
    <row r="24">
      <c r="A24" s="20" t="s">
        <v>42</v>
      </c>
      <c r="B24" s="22" t="s">
        <v>24</v>
      </c>
      <c r="C24" s="22" t="s">
        <v>39</v>
      </c>
      <c r="D24" s="22" t="s">
        <v>24</v>
      </c>
      <c r="E24" s="23" t="str">
        <f t="shared" ref="E24:E27" si="6">LET(
  ranks,{"G";"F";"E";"D";"C";"B";"A";"S"},
  nums,{1;2;3;4;5;6;7;8},
  vC,IF(D24=0,0,INDEX(nums,MATCH(D24,ranks,0))),
  vD,IF(C24=0,0,INDEX(nums,MATCH(C24,ranks,0))),
  vE,IF(B24=0,0,INDEX(nums,MATCH(B24,ranks,0))),
  IF(
    OR(D24=0,C24=0,B24=0),
    "",
    IF(
      AND(vC=vD,vD=vE),
      INDEX(ranks,MIN(vC+1,8)),
      INDEX(ranks,MAX(vC,vD,vE))
    )
  )
)</f>
        <v>A</v>
      </c>
      <c r="F24" s="16"/>
      <c r="G24" s="27" t="s">
        <v>43</v>
      </c>
    </row>
    <row r="25">
      <c r="A25" s="20" t="s">
        <v>44</v>
      </c>
      <c r="B25" s="22" t="s">
        <v>24</v>
      </c>
      <c r="C25" s="22" t="s">
        <v>30</v>
      </c>
      <c r="D25" s="22" t="s">
        <v>24</v>
      </c>
      <c r="E25" s="23" t="str">
        <f t="shared" si="6"/>
        <v>A</v>
      </c>
      <c r="F25" s="16"/>
      <c r="G25" s="16"/>
      <c r="H25" s="16"/>
    </row>
    <row r="26">
      <c r="A26" s="20" t="s">
        <v>45</v>
      </c>
      <c r="B26" s="22" t="s">
        <v>26</v>
      </c>
      <c r="C26" s="22" t="s">
        <v>24</v>
      </c>
      <c r="D26" s="22" t="s">
        <v>39</v>
      </c>
      <c r="E26" s="23" t="str">
        <f t="shared" si="6"/>
        <v>A</v>
      </c>
      <c r="F26" s="16"/>
      <c r="G26" s="16"/>
      <c r="H26" s="16"/>
    </row>
    <row r="27">
      <c r="A27" s="20" t="s">
        <v>46</v>
      </c>
      <c r="B27" s="22" t="s">
        <v>26</v>
      </c>
      <c r="C27" s="22" t="s">
        <v>24</v>
      </c>
      <c r="D27" s="22" t="s">
        <v>26</v>
      </c>
      <c r="E27" s="23" t="str">
        <f t="shared" si="6"/>
        <v>A</v>
      </c>
      <c r="F27" s="16"/>
      <c r="G27" s="16"/>
      <c r="H27" s="16"/>
    </row>
    <row r="28">
      <c r="A28" s="31"/>
      <c r="B28" s="32"/>
      <c r="C28" s="32"/>
      <c r="D28" s="32"/>
      <c r="E28" s="32"/>
      <c r="F28" s="16"/>
      <c r="G28" s="16"/>
      <c r="H28" s="16"/>
    </row>
    <row r="29">
      <c r="A29" s="33" t="s">
        <v>47</v>
      </c>
      <c r="B29" s="34" t="s">
        <v>48</v>
      </c>
      <c r="C29" s="32"/>
      <c r="D29" s="32"/>
      <c r="E29" s="32"/>
    </row>
    <row r="30">
      <c r="A30" s="32"/>
      <c r="B30" s="10" t="s">
        <v>24</v>
      </c>
      <c r="C30" s="10" t="s">
        <v>24</v>
      </c>
      <c r="D30" s="10" t="s">
        <v>24</v>
      </c>
      <c r="E30" s="11" t="s">
        <v>49</v>
      </c>
    </row>
    <row r="31">
      <c r="A31" s="32"/>
      <c r="B31" s="10" t="s">
        <v>30</v>
      </c>
      <c r="C31" s="10" t="s">
        <v>24</v>
      </c>
      <c r="D31" s="10" t="s">
        <v>30</v>
      </c>
      <c r="E31" s="11" t="s">
        <v>24</v>
      </c>
    </row>
    <row r="32">
      <c r="A32" s="32"/>
      <c r="B32" s="10" t="s">
        <v>30</v>
      </c>
      <c r="C32" s="10" t="s">
        <v>24</v>
      </c>
      <c r="D32" s="10" t="s">
        <v>24</v>
      </c>
      <c r="E32" s="11" t="s">
        <v>24</v>
      </c>
    </row>
    <row r="33">
      <c r="A33" s="32"/>
      <c r="B33" s="34" t="s">
        <v>50</v>
      </c>
      <c r="C33" s="32"/>
      <c r="D33" s="32"/>
    </row>
    <row r="34">
      <c r="A34" s="32"/>
      <c r="B34" s="10" t="s">
        <v>39</v>
      </c>
      <c r="C34" s="10" t="s">
        <v>26</v>
      </c>
      <c r="D34" s="10" t="s">
        <v>31</v>
      </c>
      <c r="E34" s="11" t="s">
        <v>31</v>
      </c>
    </row>
    <row r="35">
      <c r="B35" s="2"/>
    </row>
    <row r="36">
      <c r="B36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</sheetData>
  <mergeCells count="17">
    <mergeCell ref="A1:N1"/>
    <mergeCell ref="A3:H3"/>
    <mergeCell ref="B5:B6"/>
    <mergeCell ref="C5:C6"/>
    <mergeCell ref="D5:D6"/>
    <mergeCell ref="E5:E6"/>
    <mergeCell ref="F5:F6"/>
    <mergeCell ref="G22:N22"/>
    <mergeCell ref="G23:N23"/>
    <mergeCell ref="G24:N24"/>
    <mergeCell ref="G5:G6"/>
    <mergeCell ref="H5:H6"/>
    <mergeCell ref="A14:E14"/>
    <mergeCell ref="G18:N18"/>
    <mergeCell ref="G19:M19"/>
    <mergeCell ref="G20:N20"/>
    <mergeCell ref="G21:N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6.13"/>
    <col customWidth="1" min="3" max="3" width="19.13"/>
    <col customWidth="1" min="4" max="4" width="16.25"/>
    <col customWidth="1" min="9" max="9" width="12.13"/>
    <col customWidth="1" min="10" max="10" width="15.88"/>
  </cols>
  <sheetData>
    <row r="1" ht="30.0" customHeight="1">
      <c r="B1" s="2"/>
    </row>
    <row r="2">
      <c r="B2" s="2"/>
    </row>
    <row r="3">
      <c r="A3" s="35" t="s">
        <v>51</v>
      </c>
    </row>
    <row r="4">
      <c r="B4" s="2"/>
      <c r="C4" s="4" t="s">
        <v>2</v>
      </c>
    </row>
    <row r="5">
      <c r="B5" s="36" t="s">
        <v>8</v>
      </c>
      <c r="C5" s="36" t="s">
        <v>9</v>
      </c>
      <c r="D5" s="36" t="s">
        <v>52</v>
      </c>
      <c r="E5" s="36" t="s">
        <v>6</v>
      </c>
      <c r="F5" s="36" t="s">
        <v>5</v>
      </c>
      <c r="G5" s="36" t="s">
        <v>4</v>
      </c>
      <c r="H5" s="36" t="s">
        <v>3</v>
      </c>
    </row>
    <row r="6">
      <c r="A6" s="6"/>
      <c r="B6" s="7"/>
      <c r="C6" s="7"/>
      <c r="D6" s="7"/>
      <c r="E6" s="7"/>
      <c r="F6" s="7"/>
      <c r="G6" s="7"/>
      <c r="H6" s="7"/>
    </row>
    <row r="7">
      <c r="A7" s="37" t="s">
        <v>10</v>
      </c>
      <c r="B7" s="11">
        <v>1160.0</v>
      </c>
      <c r="C7" s="10">
        <v>1450.0</v>
      </c>
      <c r="D7" s="10">
        <f t="shared" ref="D7:D11" si="1">LET(s,sum(E7:H7),IF(s=0," ",s))</f>
        <v>324</v>
      </c>
      <c r="E7" s="10">
        <v>200.0</v>
      </c>
      <c r="F7" s="10"/>
      <c r="G7" s="10"/>
      <c r="H7" s="9">
        <v>124.0</v>
      </c>
    </row>
    <row r="8">
      <c r="A8" s="37" t="s">
        <v>11</v>
      </c>
      <c r="B8" s="11">
        <v>600.0</v>
      </c>
      <c r="C8" s="10">
        <v>450.0</v>
      </c>
      <c r="D8" s="38">
        <f t="shared" si="1"/>
        <v>479</v>
      </c>
      <c r="E8" s="10"/>
      <c r="F8" s="10">
        <v>200.0</v>
      </c>
      <c r="G8" s="10">
        <v>200.0</v>
      </c>
      <c r="H8" s="9">
        <v>79.0</v>
      </c>
    </row>
    <row r="9">
      <c r="A9" s="37" t="s">
        <v>12</v>
      </c>
      <c r="B9" s="11">
        <v>500.0</v>
      </c>
      <c r="C9" s="10">
        <v>475.0</v>
      </c>
      <c r="D9" s="38">
        <f t="shared" si="1"/>
        <v>236</v>
      </c>
      <c r="E9" s="10">
        <v>100.0</v>
      </c>
      <c r="F9" s="10"/>
      <c r="G9" s="10"/>
      <c r="H9" s="9">
        <v>136.0</v>
      </c>
    </row>
    <row r="10">
      <c r="A10" s="37" t="s">
        <v>13</v>
      </c>
      <c r="B10" s="11">
        <v>500.0</v>
      </c>
      <c r="C10" s="10">
        <v>300.0</v>
      </c>
      <c r="D10" s="38">
        <f t="shared" si="1"/>
        <v>197</v>
      </c>
      <c r="E10" s="10"/>
      <c r="F10" s="10"/>
      <c r="G10" s="10">
        <v>100.0</v>
      </c>
      <c r="H10" s="9">
        <v>97.0</v>
      </c>
    </row>
    <row r="11">
      <c r="A11" s="37" t="s">
        <v>14</v>
      </c>
      <c r="B11" s="11">
        <v>500.0</v>
      </c>
      <c r="C11" s="10">
        <v>275.0</v>
      </c>
      <c r="D11" s="38">
        <f t="shared" si="1"/>
        <v>214</v>
      </c>
      <c r="E11" s="10"/>
      <c r="F11" s="10">
        <v>100.0</v>
      </c>
      <c r="G11" s="10"/>
      <c r="H11" s="9">
        <v>114.0</v>
      </c>
    </row>
    <row r="12">
      <c r="A12" s="39" t="s">
        <v>15</v>
      </c>
      <c r="B12" s="14">
        <f t="shared" ref="B12:H12" si="2">LET(s,sum(B7:B11),IF(s=0," ",s))</f>
        <v>3260</v>
      </c>
      <c r="C12" s="13">
        <f t="shared" si="2"/>
        <v>2950</v>
      </c>
      <c r="D12" s="15">
        <f t="shared" si="2"/>
        <v>1450</v>
      </c>
      <c r="E12" s="14">
        <f t="shared" si="2"/>
        <v>300</v>
      </c>
      <c r="F12" s="14">
        <f t="shared" si="2"/>
        <v>300</v>
      </c>
      <c r="G12" s="14">
        <f t="shared" si="2"/>
        <v>300</v>
      </c>
      <c r="H12" s="13">
        <f t="shared" si="2"/>
        <v>550</v>
      </c>
    </row>
    <row r="13">
      <c r="A13" s="16"/>
      <c r="B13" s="40"/>
      <c r="C13" s="17" t="s">
        <v>19</v>
      </c>
      <c r="D13" s="4" t="s">
        <v>18</v>
      </c>
      <c r="E13" s="4" t="s">
        <v>17</v>
      </c>
      <c r="F13" s="4" t="s">
        <v>17</v>
      </c>
      <c r="G13" s="4" t="s">
        <v>17</v>
      </c>
      <c r="H13" s="4" t="s">
        <v>16</v>
      </c>
    </row>
    <row r="14">
      <c r="A14" s="18" t="s">
        <v>20</v>
      </c>
      <c r="G14" s="4"/>
    </row>
    <row r="15">
      <c r="A15" s="41" t="s">
        <v>23</v>
      </c>
      <c r="B15" s="42" t="s">
        <v>15</v>
      </c>
      <c r="C15" s="42" t="s">
        <v>6</v>
      </c>
      <c r="D15" s="42" t="s">
        <v>5</v>
      </c>
      <c r="E15" s="42" t="s">
        <v>22</v>
      </c>
      <c r="I15" s="4"/>
    </row>
    <row r="16">
      <c r="A16" s="42" t="s">
        <v>23</v>
      </c>
      <c r="B16" s="23" t="str">
        <f t="shared" ref="B16:B17" si="3">LET(
  ranks,{"G";"F";"E";"D";"C";"B";"A";"S"},
  nums,{1;2;3;4;5;6;7;8},
  vC,IF(C16=0,0,INDEX(nums,MATCH(C16,ranks,0))),
  vD,IF(D16=0,0,INDEX(nums,MATCH(D16,ranks,0))),
  vE,IF(E16=0,0,INDEX(nums,MATCH(E16,ranks,0))),
  IF(
    OR(C16=0,D16=0,E16=0),
    "",
    IF(
      AND(vC=vD,vD=vE),
      INDEX(ranks,MIN(vC+1,8)),
      INDEX(ranks,MAX(vC,vD,vE))
    )
  )
)</f>
        <v>S</v>
      </c>
      <c r="C16" s="22" t="s">
        <v>24</v>
      </c>
      <c r="D16" s="22" t="s">
        <v>24</v>
      </c>
      <c r="E16" s="22" t="s">
        <v>24</v>
      </c>
    </row>
    <row r="17">
      <c r="A17" s="42" t="s">
        <v>25</v>
      </c>
      <c r="B17" s="23" t="str">
        <f t="shared" si="3"/>
        <v>F</v>
      </c>
      <c r="C17" s="22" t="s">
        <v>26</v>
      </c>
      <c r="D17" s="22" t="s">
        <v>26</v>
      </c>
      <c r="E17" s="22" t="s">
        <v>26</v>
      </c>
      <c r="G17" s="24" t="s">
        <v>27</v>
      </c>
      <c r="N17" s="16"/>
    </row>
    <row r="18">
      <c r="A18" s="43" t="s">
        <v>38</v>
      </c>
      <c r="B18" s="26"/>
      <c r="C18" s="26"/>
      <c r="D18" s="26"/>
      <c r="E18" s="26"/>
      <c r="G18" s="24" t="s">
        <v>28</v>
      </c>
      <c r="N18" s="16"/>
    </row>
    <row r="19">
      <c r="A19" s="42" t="s">
        <v>29</v>
      </c>
      <c r="B19" s="23" t="str">
        <f t="shared" ref="B19:B22" si="4">LET(
  ranks,{"G";"F";"E";"D";"C";"B";"A";"S"},
  nums,{1;2;3;4;5;6;7;8},
  vC,IF(C19=0,0,INDEX(nums,MATCH(C19,ranks,0))),
  vD,IF(D19=0,0,INDEX(nums,MATCH(D19,ranks,0))),
  vE,IF(E19=0,0,INDEX(nums,MATCH(E19,ranks,0))),
  IF(
    OR(C19=0,D19=0,E19=0),
    "",
    IF(
      AND(vC=vD,vD=vE),
      INDEX(ranks,MIN(vC+1,8)),
      INDEX(ranks,MAX(vC,vD,vE))
    )
  )
)</f>
        <v>F</v>
      </c>
      <c r="C19" s="22" t="s">
        <v>26</v>
      </c>
      <c r="D19" s="22" t="s">
        <v>53</v>
      </c>
      <c r="E19" s="22" t="s">
        <v>53</v>
      </c>
      <c r="G19" s="24" t="s">
        <v>54</v>
      </c>
      <c r="N19" s="16"/>
    </row>
    <row r="20">
      <c r="A20" s="42" t="s">
        <v>33</v>
      </c>
      <c r="B20" s="23" t="str">
        <f t="shared" si="4"/>
        <v>A</v>
      </c>
      <c r="C20" s="22" t="s">
        <v>53</v>
      </c>
      <c r="D20" s="22" t="s">
        <v>24</v>
      </c>
      <c r="E20" s="22" t="s">
        <v>24</v>
      </c>
      <c r="G20" s="27" t="s">
        <v>34</v>
      </c>
      <c r="N20" s="16"/>
    </row>
    <row r="21">
      <c r="A21" s="42" t="s">
        <v>35</v>
      </c>
      <c r="B21" s="23" t="str">
        <f t="shared" si="4"/>
        <v>S</v>
      </c>
      <c r="C21" s="22" t="s">
        <v>24</v>
      </c>
      <c r="D21" s="22" t="s">
        <v>24</v>
      </c>
      <c r="E21" s="22" t="s">
        <v>24</v>
      </c>
      <c r="F21" s="16"/>
      <c r="G21" s="24" t="s">
        <v>37</v>
      </c>
    </row>
    <row r="22">
      <c r="A22" s="42" t="s">
        <v>38</v>
      </c>
      <c r="B22" s="23" t="str">
        <f t="shared" si="4"/>
        <v>A</v>
      </c>
      <c r="C22" s="22" t="s">
        <v>24</v>
      </c>
      <c r="D22" s="22" t="s">
        <v>30</v>
      </c>
      <c r="E22" s="22" t="s">
        <v>53</v>
      </c>
      <c r="F22" s="16"/>
      <c r="G22" s="27" t="s">
        <v>40</v>
      </c>
    </row>
    <row r="23">
      <c r="A23" s="44" t="s">
        <v>45</v>
      </c>
      <c r="B23" s="26"/>
      <c r="C23" s="26"/>
      <c r="D23" s="29"/>
      <c r="E23" s="26"/>
      <c r="F23" s="16"/>
      <c r="G23" s="27" t="s">
        <v>43</v>
      </c>
      <c r="N23" s="16"/>
    </row>
    <row r="24">
      <c r="A24" s="42" t="s">
        <v>42</v>
      </c>
      <c r="B24" s="23" t="str">
        <f t="shared" ref="B24:B27" si="5">LET(
  ranks,{"G";"F";"E";"D";"C";"B";"A";"S"},
  nums,{1;2;3;4;5;6;7;8},
  vC,IF(C24=0,0,INDEX(nums,MATCH(C24,ranks,0))),
  vD,IF(D24=0,0,INDEX(nums,MATCH(D24,ranks,0))),
  vE,IF(E24=0,0,INDEX(nums,MATCH(E24,ranks,0))),
  IF(
    OR(C24=0,D24=0,E24=0),
    "",
    IF(
      AND(vC=vD,vD=vE),
      INDEX(ranks,MIN(vC+1,8)),
      INDEX(ranks,MAX(vC,vD,vE))
    )
  )
)</f>
        <v>A</v>
      </c>
      <c r="C24" s="22" t="s">
        <v>53</v>
      </c>
      <c r="D24" s="22" t="s">
        <v>24</v>
      </c>
      <c r="E24" s="22" t="s">
        <v>36</v>
      </c>
      <c r="F24" s="16"/>
      <c r="G24" s="16"/>
      <c r="H24" s="16"/>
    </row>
    <row r="25">
      <c r="A25" s="42" t="s">
        <v>44</v>
      </c>
      <c r="B25" s="23" t="str">
        <f t="shared" si="5"/>
        <v>A</v>
      </c>
      <c r="C25" s="22" t="s">
        <v>24</v>
      </c>
      <c r="D25" s="22" t="s">
        <v>24</v>
      </c>
      <c r="E25" s="22" t="s">
        <v>30</v>
      </c>
      <c r="F25" s="16"/>
      <c r="G25" s="16"/>
      <c r="H25" s="16"/>
    </row>
    <row r="26">
      <c r="A26" s="42" t="s">
        <v>45</v>
      </c>
      <c r="B26" s="23" t="str">
        <f t="shared" si="5"/>
        <v>A</v>
      </c>
      <c r="C26" s="22" t="s">
        <v>30</v>
      </c>
      <c r="D26" s="22" t="s">
        <v>39</v>
      </c>
      <c r="E26" s="22" t="s">
        <v>24</v>
      </c>
      <c r="F26" s="16"/>
      <c r="G26" s="16"/>
      <c r="H26" s="16"/>
    </row>
    <row r="27">
      <c r="A27" s="42" t="s">
        <v>46</v>
      </c>
      <c r="B27" s="23" t="str">
        <f t="shared" si="5"/>
        <v>E</v>
      </c>
      <c r="C27" s="22" t="s">
        <v>39</v>
      </c>
      <c r="D27" s="22" t="s">
        <v>26</v>
      </c>
      <c r="E27" s="22" t="s">
        <v>53</v>
      </c>
      <c r="F27" s="16"/>
      <c r="G27" s="16"/>
      <c r="H27" s="16"/>
    </row>
    <row r="28">
      <c r="A28" s="32"/>
      <c r="B28" s="32"/>
      <c r="C28" s="32"/>
      <c r="D28" s="32"/>
      <c r="E28" s="32"/>
      <c r="F28" s="16"/>
      <c r="G28" s="16"/>
      <c r="H28" s="16"/>
    </row>
    <row r="29">
      <c r="A29" s="45" t="s">
        <v>47</v>
      </c>
      <c r="B29" s="46" t="s">
        <v>48</v>
      </c>
      <c r="C29" s="32"/>
      <c r="D29" s="32"/>
      <c r="E29" s="32"/>
    </row>
    <row r="30">
      <c r="A30" s="32"/>
      <c r="B30" s="10" t="s">
        <v>49</v>
      </c>
      <c r="C30" s="10" t="s">
        <v>24</v>
      </c>
      <c r="D30" s="10" t="s">
        <v>24</v>
      </c>
      <c r="E30" s="10" t="s">
        <v>24</v>
      </c>
    </row>
    <row r="31">
      <c r="A31" s="32"/>
      <c r="B31" s="10" t="s">
        <v>24</v>
      </c>
      <c r="C31" s="10" t="s">
        <v>24</v>
      </c>
      <c r="D31" s="10" t="s">
        <v>30</v>
      </c>
      <c r="E31" s="10" t="s">
        <v>30</v>
      </c>
    </row>
    <row r="32">
      <c r="A32" s="32"/>
      <c r="B32" s="10" t="s">
        <v>24</v>
      </c>
      <c r="C32" s="10" t="s">
        <v>24</v>
      </c>
      <c r="D32" s="10" t="s">
        <v>24</v>
      </c>
      <c r="E32" s="10" t="s">
        <v>30</v>
      </c>
    </row>
    <row r="33">
      <c r="A33" s="32"/>
      <c r="B33" s="46" t="s">
        <v>50</v>
      </c>
      <c r="C33" s="32"/>
      <c r="D33" s="32"/>
      <c r="E33" s="32"/>
    </row>
    <row r="34">
      <c r="A34" s="32"/>
      <c r="B34" s="10" t="s">
        <v>31</v>
      </c>
      <c r="C34" s="10" t="s">
        <v>26</v>
      </c>
      <c r="D34" s="10" t="s">
        <v>31</v>
      </c>
      <c r="E34" s="10" t="s">
        <v>39</v>
      </c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</sheetData>
  <mergeCells count="16">
    <mergeCell ref="A3:L3"/>
    <mergeCell ref="B5:B6"/>
    <mergeCell ref="C5:C6"/>
    <mergeCell ref="D5:D6"/>
    <mergeCell ref="F5:F6"/>
    <mergeCell ref="G5:G6"/>
    <mergeCell ref="H5:H6"/>
    <mergeCell ref="G22:N22"/>
    <mergeCell ref="G23:M23"/>
    <mergeCell ref="E5:E6"/>
    <mergeCell ref="A14:E14"/>
    <mergeCell ref="G17:M17"/>
    <mergeCell ref="G18:M18"/>
    <mergeCell ref="G19:M19"/>
    <mergeCell ref="G20:M20"/>
    <mergeCell ref="G21:N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6.13"/>
    <col customWidth="1" min="3" max="3" width="19.13"/>
    <col customWidth="1" min="4" max="4" width="16.25"/>
    <col customWidth="1" min="9" max="9" width="12.13"/>
    <col customWidth="1" min="10" max="10" width="15.88"/>
  </cols>
  <sheetData>
    <row r="1" ht="30.0" customHeight="1">
      <c r="B1" s="2"/>
    </row>
    <row r="2">
      <c r="B2" s="2"/>
    </row>
    <row r="3">
      <c r="A3" s="35" t="s">
        <v>51</v>
      </c>
    </row>
    <row r="4">
      <c r="B4" s="2"/>
      <c r="C4" s="4" t="s">
        <v>2</v>
      </c>
    </row>
    <row r="5">
      <c r="B5" s="36" t="s">
        <v>8</v>
      </c>
      <c r="C5" s="36" t="s">
        <v>9</v>
      </c>
      <c r="D5" s="36" t="s">
        <v>52</v>
      </c>
      <c r="E5" s="36" t="s">
        <v>6</v>
      </c>
      <c r="F5" s="36" t="s">
        <v>5</v>
      </c>
      <c r="G5" s="36" t="s">
        <v>4</v>
      </c>
      <c r="H5" s="36" t="s">
        <v>3</v>
      </c>
    </row>
    <row r="6">
      <c r="A6" s="6"/>
      <c r="B6" s="7"/>
      <c r="C6" s="7"/>
      <c r="D6" s="7"/>
      <c r="E6" s="7"/>
      <c r="F6" s="7"/>
      <c r="G6" s="7"/>
      <c r="H6" s="7"/>
    </row>
    <row r="7">
      <c r="A7" s="37" t="s">
        <v>10</v>
      </c>
      <c r="B7" s="11">
        <v>1000.0</v>
      </c>
      <c r="C7" s="38">
        <f t="shared" ref="C7:C11" si="1">LET(
 s,D7,
 e,B7,
 hi,{500;900;1000;1100;1200},
 lo,{0;500;900;1000;1100},
 r,{1;2;3;4;5},
 IF(
  OR(s=0,e=0),
  "",
  IF(e&lt;=s,0,
   SUM(
    MAP(hi,lo,r,
     LAMBDA(h,l,rate,
      MAX(0,MIN(e,h)-MAX(s,l))*rate
     )
    )
   )
  )
 )
)</f>
        <v>1187</v>
      </c>
      <c r="D7" s="38">
        <f t="shared" ref="D7:D11" si="2">LET(s,sum(E7:H7),IF(s=0," ",s))</f>
        <v>413</v>
      </c>
      <c r="E7" s="10">
        <v>100.0</v>
      </c>
      <c r="F7" s="10">
        <v>100.0</v>
      </c>
      <c r="G7" s="10">
        <v>100.0</v>
      </c>
      <c r="H7" s="9">
        <v>113.0</v>
      </c>
    </row>
    <row r="8">
      <c r="A8" s="37" t="s">
        <v>11</v>
      </c>
      <c r="B8" s="11">
        <v>600.0</v>
      </c>
      <c r="C8" s="38">
        <f t="shared" si="1"/>
        <v>399</v>
      </c>
      <c r="D8" s="38">
        <f t="shared" si="2"/>
        <v>301</v>
      </c>
      <c r="E8" s="10">
        <v>100.0</v>
      </c>
      <c r="F8" s="10"/>
      <c r="G8" s="10">
        <v>100.0</v>
      </c>
      <c r="H8" s="9">
        <v>101.0</v>
      </c>
    </row>
    <row r="9">
      <c r="A9" s="37" t="s">
        <v>12</v>
      </c>
      <c r="B9" s="11">
        <v>525.0</v>
      </c>
      <c r="C9" s="38">
        <f t="shared" si="1"/>
        <v>335</v>
      </c>
      <c r="D9" s="38">
        <f t="shared" si="2"/>
        <v>215</v>
      </c>
      <c r="E9" s="10"/>
      <c r="F9" s="10">
        <v>100.0</v>
      </c>
      <c r="G9" s="10"/>
      <c r="H9" s="9">
        <v>115.0</v>
      </c>
    </row>
    <row r="10">
      <c r="A10" s="37" t="s">
        <v>13</v>
      </c>
      <c r="B10" s="11">
        <v>650.0</v>
      </c>
      <c r="C10" s="38">
        <f t="shared" si="1"/>
        <v>587</v>
      </c>
      <c r="D10" s="38">
        <f t="shared" si="2"/>
        <v>213</v>
      </c>
      <c r="E10" s="10"/>
      <c r="F10" s="10">
        <v>100.0</v>
      </c>
      <c r="G10" s="10"/>
      <c r="H10" s="9">
        <v>113.0</v>
      </c>
    </row>
    <row r="11">
      <c r="A11" s="37" t="s">
        <v>14</v>
      </c>
      <c r="B11" s="11">
        <v>650.0</v>
      </c>
      <c r="C11" s="38">
        <f t="shared" si="1"/>
        <v>492</v>
      </c>
      <c r="D11" s="38">
        <f t="shared" si="2"/>
        <v>308</v>
      </c>
      <c r="E11" s="10">
        <v>100.0</v>
      </c>
      <c r="F11" s="10"/>
      <c r="G11" s="10">
        <v>100.0</v>
      </c>
      <c r="H11" s="9">
        <v>108.0</v>
      </c>
    </row>
    <row r="12">
      <c r="A12" s="39" t="s">
        <v>15</v>
      </c>
      <c r="B12" s="14">
        <f t="shared" ref="B12:H12" si="3">LET(s,sum(B7:B11),IF(s=0," ",s))</f>
        <v>3425</v>
      </c>
      <c r="C12" s="13">
        <f t="shared" si="3"/>
        <v>3000</v>
      </c>
      <c r="D12" s="15">
        <f t="shared" si="3"/>
        <v>1450</v>
      </c>
      <c r="E12" s="14">
        <f t="shared" si="3"/>
        <v>300</v>
      </c>
      <c r="F12" s="14">
        <f t="shared" si="3"/>
        <v>300</v>
      </c>
      <c r="G12" s="14">
        <f t="shared" si="3"/>
        <v>300</v>
      </c>
      <c r="H12" s="13">
        <f t="shared" si="3"/>
        <v>550</v>
      </c>
    </row>
    <row r="13">
      <c r="A13" s="16"/>
      <c r="B13" s="40"/>
      <c r="C13" s="17" t="s">
        <v>19</v>
      </c>
      <c r="D13" s="4" t="s">
        <v>18</v>
      </c>
      <c r="E13" s="4" t="s">
        <v>17</v>
      </c>
      <c r="F13" s="4" t="s">
        <v>17</v>
      </c>
      <c r="G13" s="4" t="s">
        <v>17</v>
      </c>
      <c r="H13" s="4" t="s">
        <v>16</v>
      </c>
    </row>
    <row r="14">
      <c r="A14" s="18" t="s">
        <v>20</v>
      </c>
      <c r="G14" s="4"/>
    </row>
    <row r="15">
      <c r="A15" s="41" t="s">
        <v>55</v>
      </c>
      <c r="B15" s="42" t="s">
        <v>15</v>
      </c>
      <c r="C15" s="42" t="s">
        <v>6</v>
      </c>
      <c r="D15" s="42" t="s">
        <v>5</v>
      </c>
      <c r="E15" s="42" t="s">
        <v>22</v>
      </c>
      <c r="I15" s="4"/>
    </row>
    <row r="16">
      <c r="A16" s="42" t="s">
        <v>23</v>
      </c>
      <c r="B16" s="23" t="str">
        <f t="shared" ref="B16:B17" si="4">LET(
  ranks,{"G";"F";"E";"D";"C";"B";"A";"S"},
  nums,{1;2;3;4;5;6;7;8},
  vC,IF(C16=0,0,INDEX(nums,MATCH(C16,ranks,0))),
  vD,IF(D16=0,0,INDEX(nums,MATCH(D16,ranks,0))),
  vE,IF(E16=0,0,INDEX(nums,MATCH(E16,ranks,0))),
  IF(
    OR(C16=0,D16=0,E16=0),
    "",
    IF(
      AND(vC=vD,vD=vE),
      INDEX(ranks,MIN(vC+1,8)),
      INDEX(ranks,MAX(vC,vD,vE))
    )
  )
)</f>
        <v>S</v>
      </c>
      <c r="C16" s="22" t="s">
        <v>24</v>
      </c>
      <c r="D16" s="22" t="s">
        <v>24</v>
      </c>
      <c r="E16" s="22" t="s">
        <v>24</v>
      </c>
    </row>
    <row r="17">
      <c r="A17" s="42" t="s">
        <v>25</v>
      </c>
      <c r="B17" s="23" t="str">
        <f t="shared" si="4"/>
        <v>D</v>
      </c>
      <c r="C17" s="22" t="s">
        <v>26</v>
      </c>
      <c r="D17" s="22" t="s">
        <v>31</v>
      </c>
      <c r="E17" s="22" t="s">
        <v>53</v>
      </c>
      <c r="G17" s="24" t="s">
        <v>27</v>
      </c>
      <c r="N17" s="16"/>
    </row>
    <row r="18">
      <c r="A18" s="43" t="s">
        <v>55</v>
      </c>
      <c r="B18" s="26"/>
      <c r="C18" s="26"/>
      <c r="D18" s="26"/>
      <c r="E18" s="26"/>
      <c r="G18" s="24" t="s">
        <v>28</v>
      </c>
      <c r="N18" s="16"/>
    </row>
    <row r="19">
      <c r="A19" s="42" t="s">
        <v>29</v>
      </c>
      <c r="B19" s="23" t="str">
        <f t="shared" ref="B19:B22" si="5">LET(
  ranks,{"G";"F";"E";"D";"C";"B";"A";"S"},
  nums,{1;2;3;4;5;6;7;8},
  vC,IF(C19=0,0,INDEX(nums,MATCH(C19,ranks,0))),
  vD,IF(D19=0,0,INDEX(nums,MATCH(D19,ranks,0))),
  vE,IF(E19=0,0,INDEX(nums,MATCH(E19,ranks,0))),
  IF(
    OR(C19=0,D19=0,E19=0),
    "",
    IF(
      AND(vC=vD,vD=vE),
      INDEX(ranks,MIN(vC+1,8)),
      INDEX(ranks,MAX(vC,vD,vE))
    )
  )
)</f>
        <v>E</v>
      </c>
      <c r="C19" s="22" t="s">
        <v>39</v>
      </c>
      <c r="D19" s="22" t="s">
        <v>26</v>
      </c>
      <c r="E19" s="22" t="s">
        <v>26</v>
      </c>
      <c r="G19" s="24" t="s">
        <v>54</v>
      </c>
      <c r="N19" s="16"/>
    </row>
    <row r="20">
      <c r="A20" s="42" t="s">
        <v>33</v>
      </c>
      <c r="B20" s="23" t="str">
        <f t="shared" si="5"/>
        <v>B</v>
      </c>
      <c r="C20" s="22" t="s">
        <v>30</v>
      </c>
      <c r="D20" s="22" t="s">
        <v>36</v>
      </c>
      <c r="E20" s="22" t="s">
        <v>39</v>
      </c>
      <c r="G20" s="27" t="s">
        <v>34</v>
      </c>
      <c r="N20" s="16"/>
    </row>
    <row r="21">
      <c r="A21" s="42" t="s">
        <v>35</v>
      </c>
      <c r="B21" s="23" t="str">
        <f t="shared" si="5"/>
        <v>S</v>
      </c>
      <c r="C21" s="22" t="s">
        <v>24</v>
      </c>
      <c r="D21" s="22" t="s">
        <v>24</v>
      </c>
      <c r="E21" s="22" t="s">
        <v>24</v>
      </c>
      <c r="F21" s="16"/>
      <c r="G21" s="24" t="s">
        <v>37</v>
      </c>
    </row>
    <row r="22">
      <c r="A22" s="42" t="s">
        <v>38</v>
      </c>
      <c r="B22" s="23" t="str">
        <f t="shared" si="5"/>
        <v>A</v>
      </c>
      <c r="C22" s="22" t="s">
        <v>30</v>
      </c>
      <c r="D22" s="22" t="s">
        <v>24</v>
      </c>
      <c r="E22" s="22" t="s">
        <v>24</v>
      </c>
      <c r="F22" s="16"/>
      <c r="G22" s="27" t="s">
        <v>40</v>
      </c>
    </row>
    <row r="23">
      <c r="A23" s="44" t="s">
        <v>55</v>
      </c>
      <c r="B23" s="26"/>
      <c r="C23" s="26"/>
      <c r="D23" s="29"/>
      <c r="E23" s="26"/>
      <c r="F23" s="16"/>
      <c r="G23" s="27" t="s">
        <v>43</v>
      </c>
      <c r="N23" s="16"/>
    </row>
    <row r="24">
      <c r="A24" s="42" t="s">
        <v>42</v>
      </c>
      <c r="B24" s="23" t="str">
        <f t="shared" ref="B24:B27" si="6">LET(
  ranks,{"G";"F";"E";"D";"C";"B";"A";"S"},
  nums,{1;2;3;4;5;6;7;8},
  vC,IF(C24=0,0,INDEX(nums,MATCH(C24,ranks,0))),
  vD,IF(D24=0,0,INDEX(nums,MATCH(D24,ranks,0))),
  vE,IF(E24=0,0,INDEX(nums,MATCH(E24,ranks,0))),
  IF(
    OR(C24=0,D24=0,E24=0),
    "",
    IF(
      AND(vC=vD,vD=vE),
      INDEX(ranks,MIN(vC+1,8)),
      INDEX(ranks,MAX(vC,vD,vE))
    )
  )
)</f>
        <v>A</v>
      </c>
      <c r="C24" s="22" t="s">
        <v>24</v>
      </c>
      <c r="D24" s="22" t="s">
        <v>26</v>
      </c>
      <c r="E24" s="22" t="s">
        <v>26</v>
      </c>
      <c r="F24" s="16"/>
      <c r="G24" s="16"/>
      <c r="H24" s="16"/>
    </row>
    <row r="25">
      <c r="A25" s="42" t="s">
        <v>44</v>
      </c>
      <c r="B25" s="23" t="str">
        <f t="shared" si="6"/>
        <v>A</v>
      </c>
      <c r="C25" s="22" t="s">
        <v>24</v>
      </c>
      <c r="D25" s="22" t="s">
        <v>53</v>
      </c>
      <c r="E25" s="22" t="s">
        <v>24</v>
      </c>
      <c r="F25" s="16"/>
      <c r="G25" s="16"/>
      <c r="H25" s="16"/>
    </row>
    <row r="26">
      <c r="A26" s="42" t="s">
        <v>45</v>
      </c>
      <c r="B26" s="23" t="str">
        <f t="shared" si="6"/>
        <v>A</v>
      </c>
      <c r="C26" s="22" t="s">
        <v>39</v>
      </c>
      <c r="D26" s="22" t="s">
        <v>24</v>
      </c>
      <c r="E26" s="22" t="s">
        <v>24</v>
      </c>
      <c r="F26" s="16"/>
      <c r="G26" s="16"/>
      <c r="H26" s="16"/>
    </row>
    <row r="27">
      <c r="A27" s="42" t="s">
        <v>46</v>
      </c>
      <c r="B27" s="23" t="str">
        <f t="shared" si="6"/>
        <v>A</v>
      </c>
      <c r="C27" s="22" t="s">
        <v>26</v>
      </c>
      <c r="D27" s="22" t="s">
        <v>24</v>
      </c>
      <c r="E27" s="22" t="s">
        <v>24</v>
      </c>
      <c r="F27" s="16"/>
      <c r="G27" s="16"/>
      <c r="H27" s="16"/>
    </row>
    <row r="28">
      <c r="A28" s="32"/>
      <c r="B28" s="32"/>
      <c r="C28" s="32"/>
      <c r="D28" s="32"/>
      <c r="E28" s="32"/>
      <c r="F28" s="16"/>
      <c r="G28" s="16"/>
      <c r="H28" s="16"/>
    </row>
    <row r="29">
      <c r="A29" s="45" t="s">
        <v>47</v>
      </c>
      <c r="B29" s="46" t="s">
        <v>48</v>
      </c>
      <c r="C29" s="32"/>
      <c r="D29" s="32"/>
      <c r="E29" s="32"/>
    </row>
    <row r="30">
      <c r="A30" s="32"/>
      <c r="B30" s="10" t="s">
        <v>49</v>
      </c>
      <c r="C30" s="10" t="s">
        <v>24</v>
      </c>
      <c r="D30" s="10" t="s">
        <v>24</v>
      </c>
      <c r="E30" s="10" t="s">
        <v>24</v>
      </c>
    </row>
    <row r="31">
      <c r="A31" s="32"/>
      <c r="B31" s="10" t="s">
        <v>24</v>
      </c>
      <c r="C31" s="10" t="s">
        <v>24</v>
      </c>
      <c r="D31" s="10" t="s">
        <v>30</v>
      </c>
      <c r="E31" s="10" t="s">
        <v>30</v>
      </c>
    </row>
    <row r="32">
      <c r="A32" s="32"/>
      <c r="B32" s="10" t="s">
        <v>24</v>
      </c>
      <c r="C32" s="10" t="s">
        <v>24</v>
      </c>
      <c r="D32" s="10" t="s">
        <v>24</v>
      </c>
      <c r="E32" s="10" t="s">
        <v>30</v>
      </c>
    </row>
    <row r="33">
      <c r="A33" s="32"/>
      <c r="B33" s="46" t="s">
        <v>50</v>
      </c>
      <c r="C33" s="32"/>
      <c r="D33" s="32"/>
      <c r="E33" s="32"/>
    </row>
    <row r="34">
      <c r="A34" s="32"/>
      <c r="B34" s="10" t="s">
        <v>31</v>
      </c>
      <c r="C34" s="10" t="s">
        <v>26</v>
      </c>
      <c r="D34" s="10" t="s">
        <v>31</v>
      </c>
      <c r="E34" s="10" t="s">
        <v>39</v>
      </c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</sheetData>
  <mergeCells count="16">
    <mergeCell ref="A3:L3"/>
    <mergeCell ref="B5:B6"/>
    <mergeCell ref="C5:C6"/>
    <mergeCell ref="D5:D6"/>
    <mergeCell ref="F5:F6"/>
    <mergeCell ref="G5:G6"/>
    <mergeCell ref="H5:H6"/>
    <mergeCell ref="G22:N22"/>
    <mergeCell ref="G23:M23"/>
    <mergeCell ref="E5:E6"/>
    <mergeCell ref="A14:E14"/>
    <mergeCell ref="G17:M17"/>
    <mergeCell ref="G18:M18"/>
    <mergeCell ref="G19:M19"/>
    <mergeCell ref="G20:M20"/>
    <mergeCell ref="G21:N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6.13"/>
    <col customWidth="1" min="3" max="3" width="19.13"/>
    <col customWidth="1" min="4" max="4" width="15.63"/>
    <col customWidth="1" min="5" max="5" width="8.38"/>
    <col customWidth="1" min="6" max="6" width="8.63"/>
    <col customWidth="1" min="9" max="9" width="12.13"/>
    <col customWidth="1" min="10" max="10" width="15.88"/>
  </cols>
  <sheetData>
    <row r="1" ht="30.0" customHeight="1">
      <c r="B1" s="2"/>
    </row>
    <row r="2">
      <c r="B2" s="2"/>
    </row>
    <row r="3">
      <c r="A3" s="35" t="s">
        <v>51</v>
      </c>
    </row>
    <row r="4">
      <c r="B4" s="2"/>
      <c r="C4" s="4" t="s">
        <v>2</v>
      </c>
    </row>
    <row r="5">
      <c r="B5" s="36" t="s">
        <v>8</v>
      </c>
      <c r="C5" s="36" t="s">
        <v>9</v>
      </c>
      <c r="D5" s="36" t="s">
        <v>52</v>
      </c>
      <c r="E5" s="36" t="s">
        <v>6</v>
      </c>
      <c r="F5" s="36" t="s">
        <v>5</v>
      </c>
      <c r="G5" s="47" t="s">
        <v>4</v>
      </c>
      <c r="H5" s="48" t="s">
        <v>3</v>
      </c>
    </row>
    <row r="6">
      <c r="A6" s="6"/>
      <c r="B6" s="7"/>
      <c r="C6" s="7"/>
      <c r="D6" s="7"/>
      <c r="E6" s="7"/>
      <c r="F6" s="7"/>
      <c r="G6" s="49"/>
      <c r="H6" s="50"/>
    </row>
    <row r="7">
      <c r="A7" s="37" t="s">
        <v>10</v>
      </c>
      <c r="B7" s="11">
        <v>1160.0</v>
      </c>
      <c r="C7" s="38">
        <f t="shared" ref="C7:C11" si="1">LET(
 s,D7,
 e,B7,
 hi,{500;900;1000;1100;1200},
 lo,{0;500;900;1000;1100},
 r,{1;2;3;4;5},
 IF(e&lt;=s,0,
  SUM(
   MAP(hi,lo,r,
    LAMBDA(h,l,rate,
     MAX(0,MIN(e,h)-MAX(s,l))*rate
    )
   )
  )
 )
)</f>
        <v>1998</v>
      </c>
      <c r="D7" s="38">
        <f t="shared" ref="D7:D12" si="2">sum(E7:H7)</f>
        <v>302</v>
      </c>
      <c r="E7" s="10">
        <v>100.0</v>
      </c>
      <c r="F7" s="10">
        <v>100.0</v>
      </c>
      <c r="G7" s="51"/>
      <c r="H7" s="52">
        <v>102.0</v>
      </c>
    </row>
    <row r="8">
      <c r="A8" s="37" t="s">
        <v>11</v>
      </c>
      <c r="B8" s="11">
        <v>600.0</v>
      </c>
      <c r="C8" s="38">
        <f t="shared" si="1"/>
        <v>376</v>
      </c>
      <c r="D8" s="38">
        <f t="shared" si="2"/>
        <v>324</v>
      </c>
      <c r="E8" s="10">
        <v>100.0</v>
      </c>
      <c r="F8" s="10"/>
      <c r="G8" s="51">
        <v>100.0</v>
      </c>
      <c r="H8" s="52">
        <v>124.0</v>
      </c>
    </row>
    <row r="9">
      <c r="A9" s="37" t="s">
        <v>12</v>
      </c>
      <c r="B9" s="11">
        <v>500.0</v>
      </c>
      <c r="C9" s="38">
        <f t="shared" si="1"/>
        <v>271</v>
      </c>
      <c r="D9" s="38">
        <f t="shared" si="2"/>
        <v>229</v>
      </c>
      <c r="E9" s="10"/>
      <c r="F9" s="10">
        <v>100.0</v>
      </c>
      <c r="G9" s="51"/>
      <c r="H9" s="52">
        <v>129.0</v>
      </c>
    </row>
    <row r="10">
      <c r="A10" s="37" t="s">
        <v>13</v>
      </c>
      <c r="B10" s="11">
        <v>500.0</v>
      </c>
      <c r="C10" s="38">
        <f t="shared" si="1"/>
        <v>301</v>
      </c>
      <c r="D10" s="38">
        <f t="shared" si="2"/>
        <v>199</v>
      </c>
      <c r="E10" s="10"/>
      <c r="F10" s="10">
        <v>100.0</v>
      </c>
      <c r="G10" s="51"/>
      <c r="H10" s="52">
        <v>99.0</v>
      </c>
    </row>
    <row r="11">
      <c r="A11" s="37" t="s">
        <v>14</v>
      </c>
      <c r="B11" s="11">
        <v>500.0</v>
      </c>
      <c r="C11" s="38">
        <f t="shared" si="1"/>
        <v>104</v>
      </c>
      <c r="D11" s="38">
        <f t="shared" si="2"/>
        <v>396</v>
      </c>
      <c r="E11" s="10">
        <v>100.0</v>
      </c>
      <c r="F11" s="10"/>
      <c r="G11" s="51">
        <v>200.0</v>
      </c>
      <c r="H11" s="52">
        <v>96.0</v>
      </c>
    </row>
    <row r="12">
      <c r="A12" s="39" t="s">
        <v>15</v>
      </c>
      <c r="B12" s="14">
        <f>SUM(B7:B11)</f>
        <v>3260</v>
      </c>
      <c r="C12" s="13">
        <f>SUM(C7+C8+C9+C10+C11)</f>
        <v>3050</v>
      </c>
      <c r="D12" s="53">
        <f t="shared" si="2"/>
        <v>1450</v>
      </c>
      <c r="E12" s="14">
        <f t="shared" ref="E12:G12" si="3">SUM(E7:E11)</f>
        <v>300</v>
      </c>
      <c r="F12" s="14">
        <f t="shared" si="3"/>
        <v>300</v>
      </c>
      <c r="G12" s="14">
        <f t="shared" si="3"/>
        <v>300</v>
      </c>
      <c r="H12" s="54">
        <f>sum(H7:H11)</f>
        <v>550</v>
      </c>
    </row>
    <row r="13">
      <c r="A13" s="16"/>
      <c r="B13" s="40"/>
      <c r="C13" s="17" t="s">
        <v>56</v>
      </c>
      <c r="D13" s="4" t="s">
        <v>18</v>
      </c>
      <c r="E13" s="4" t="s">
        <v>17</v>
      </c>
      <c r="F13" s="4" t="s">
        <v>17</v>
      </c>
      <c r="G13" s="4" t="s">
        <v>17</v>
      </c>
      <c r="H13" s="4" t="s">
        <v>16</v>
      </c>
    </row>
    <row r="14">
      <c r="A14" s="18" t="s">
        <v>20</v>
      </c>
      <c r="G14" s="4"/>
    </row>
    <row r="15">
      <c r="A15" s="41" t="s">
        <v>55</v>
      </c>
      <c r="B15" s="42" t="s">
        <v>15</v>
      </c>
      <c r="C15" s="42" t="s">
        <v>6</v>
      </c>
      <c r="D15" s="42" t="s">
        <v>5</v>
      </c>
      <c r="E15" s="42" t="s">
        <v>22</v>
      </c>
      <c r="I15" s="4"/>
    </row>
    <row r="16">
      <c r="A16" s="42" t="s">
        <v>23</v>
      </c>
      <c r="B16" s="23" t="str">
        <f t="shared" ref="B16:B17" si="4">LET(
  ranks,{"G";"F";"E";"D";"C";"B";"A";"S"},
  nums,{1;2;3;4;5;6;7;8},
  vC,IF(C16=0,0,INDEX(nums,MATCH(C16,ranks,0))),
  vD,IF(D16=0,0,INDEX(nums,MATCH(D16,ranks,0))),
  vE,IF(E16=0,0,INDEX(nums,MATCH(E16,ranks,0))),
  IF(
    OR(C16=0,D16=0,E16=0),
    "",
    IF(
      AND(vC=vD,vD=vE),
      INDEX(ranks,MIN(vC+1,8)),
      INDEX(ranks,MAX(vC,vD,vE))
    )
  )
)</f>
        <v>A</v>
      </c>
      <c r="C16" s="22" t="s">
        <v>24</v>
      </c>
      <c r="D16" s="22" t="s">
        <v>24</v>
      </c>
      <c r="E16" s="22" t="s">
        <v>30</v>
      </c>
    </row>
    <row r="17">
      <c r="A17" s="42" t="s">
        <v>25</v>
      </c>
      <c r="B17" s="23" t="str">
        <f t="shared" si="4"/>
        <v>F</v>
      </c>
      <c r="C17" s="22" t="s">
        <v>26</v>
      </c>
      <c r="D17" s="22" t="s">
        <v>26</v>
      </c>
      <c r="E17" s="22" t="s">
        <v>26</v>
      </c>
      <c r="G17" s="24" t="s">
        <v>27</v>
      </c>
      <c r="N17" s="16"/>
    </row>
    <row r="18">
      <c r="A18" s="43" t="s">
        <v>55</v>
      </c>
      <c r="B18" s="26"/>
      <c r="C18" s="26"/>
      <c r="D18" s="26"/>
      <c r="E18" s="26"/>
      <c r="G18" s="24" t="s">
        <v>28</v>
      </c>
      <c r="N18" s="16"/>
    </row>
    <row r="19">
      <c r="A19" s="42" t="s">
        <v>29</v>
      </c>
      <c r="B19" s="23" t="str">
        <f t="shared" ref="B19:B22" si="5">LET(
  ranks,{"G";"F";"E";"D";"C";"B";"A";"S"},
  nums,{1;2;3;4;5;6;7;8},
  vC,IF(C19=0,0,INDEX(nums,MATCH(C19,ranks,0))),
  vD,IF(D19=0,0,INDEX(nums,MATCH(D19,ranks,0))),
  vE,IF(E19=0,0,INDEX(nums,MATCH(E19,ranks,0))),
  IF(
    OR(C19=0,D19=0,E19=0),
    "",
    IF(
      AND(vC=vD,vD=vE),
      INDEX(ranks,MIN(vC+1,8)),
      INDEX(ranks,MAX(vC,vD,vE))
    )
  )
)</f>
        <v>F</v>
      </c>
      <c r="C19" s="22" t="s">
        <v>53</v>
      </c>
      <c r="D19" s="22" t="s">
        <v>26</v>
      </c>
      <c r="E19" s="22" t="s">
        <v>26</v>
      </c>
      <c r="G19" s="24" t="s">
        <v>54</v>
      </c>
      <c r="N19" s="16"/>
    </row>
    <row r="20">
      <c r="A20" s="42" t="s">
        <v>33</v>
      </c>
      <c r="B20" s="23" t="str">
        <f t="shared" si="5"/>
        <v>C</v>
      </c>
      <c r="C20" s="22" t="s">
        <v>36</v>
      </c>
      <c r="D20" s="22" t="s">
        <v>53</v>
      </c>
      <c r="E20" s="22" t="s">
        <v>36</v>
      </c>
      <c r="G20" s="27" t="s">
        <v>34</v>
      </c>
      <c r="N20" s="16"/>
    </row>
    <row r="21">
      <c r="A21" s="42" t="s">
        <v>35</v>
      </c>
      <c r="B21" s="23" t="str">
        <f t="shared" si="5"/>
        <v>S</v>
      </c>
      <c r="C21" s="22" t="s">
        <v>24</v>
      </c>
      <c r="D21" s="22" t="s">
        <v>24</v>
      </c>
      <c r="E21" s="22" t="s">
        <v>24</v>
      </c>
      <c r="F21" s="16"/>
      <c r="G21" s="24" t="s">
        <v>37</v>
      </c>
    </row>
    <row r="22">
      <c r="A22" s="42" t="s">
        <v>38</v>
      </c>
      <c r="B22" s="23" t="str">
        <f t="shared" si="5"/>
        <v>A</v>
      </c>
      <c r="C22" s="22" t="s">
        <v>24</v>
      </c>
      <c r="D22" s="22" t="s">
        <v>30</v>
      </c>
      <c r="E22" s="22" t="s">
        <v>24</v>
      </c>
      <c r="F22" s="16"/>
      <c r="G22" s="27" t="s">
        <v>40</v>
      </c>
    </row>
    <row r="23">
      <c r="A23" s="44" t="s">
        <v>55</v>
      </c>
      <c r="B23" s="26"/>
      <c r="C23" s="26"/>
      <c r="D23" s="29"/>
      <c r="E23" s="26"/>
      <c r="F23" s="16"/>
      <c r="G23" s="27" t="s">
        <v>43</v>
      </c>
      <c r="N23" s="16"/>
    </row>
    <row r="24">
      <c r="A24" s="42" t="s">
        <v>42</v>
      </c>
      <c r="B24" s="23" t="str">
        <f t="shared" ref="B24:B27" si="6">LET(
  ranks,{"G";"F";"E";"D";"C";"B";"A";"S"},
  nums,{1;2;3;4;5;6;7;8},
  vC,IF(C24=0,0,INDEX(nums,MATCH(C24,ranks,0))),
  vD,IF(D24=0,0,INDEX(nums,MATCH(D24,ranks,0))),
  vE,IF(E24=0,0,INDEX(nums,MATCH(E24,ranks,0))),
  IF(
    OR(C24=0,D24=0,E24=0),
    "",
    IF(
      AND(vC=vD,vD=vE),
      INDEX(ranks,MIN(vC+1,8)),
      INDEX(ranks,MAX(vC,vD,vE))
    )
  )
)</f>
        <v>C</v>
      </c>
      <c r="C24" s="22" t="s">
        <v>26</v>
      </c>
      <c r="D24" s="22" t="s">
        <v>36</v>
      </c>
      <c r="E24" s="22" t="s">
        <v>26</v>
      </c>
      <c r="F24" s="16"/>
      <c r="G24" s="16"/>
      <c r="H24" s="16"/>
    </row>
    <row r="25">
      <c r="A25" s="42" t="s">
        <v>44</v>
      </c>
      <c r="B25" s="23" t="str">
        <f t="shared" si="6"/>
        <v>A</v>
      </c>
      <c r="C25" s="22" t="s">
        <v>24</v>
      </c>
      <c r="D25" s="22" t="s">
        <v>24</v>
      </c>
      <c r="E25" s="22" t="s">
        <v>30</v>
      </c>
      <c r="F25" s="16"/>
      <c r="G25" s="16"/>
      <c r="H25" s="16"/>
    </row>
    <row r="26">
      <c r="A26" s="42" t="s">
        <v>45</v>
      </c>
      <c r="B26" s="23" t="str">
        <f t="shared" si="6"/>
        <v>A</v>
      </c>
      <c r="C26" s="22" t="s">
        <v>24</v>
      </c>
      <c r="D26" s="22" t="s">
        <v>30</v>
      </c>
      <c r="E26" s="22" t="s">
        <v>30</v>
      </c>
      <c r="F26" s="16"/>
      <c r="G26" s="16"/>
      <c r="H26" s="16"/>
    </row>
    <row r="27">
      <c r="A27" s="42" t="s">
        <v>46</v>
      </c>
      <c r="B27" s="23" t="str">
        <f t="shared" si="6"/>
        <v>A</v>
      </c>
      <c r="C27" s="22" t="s">
        <v>36</v>
      </c>
      <c r="D27" s="22" t="s">
        <v>26</v>
      </c>
      <c r="E27" s="22" t="s">
        <v>24</v>
      </c>
      <c r="F27" s="16"/>
      <c r="G27" s="16"/>
      <c r="H27" s="16"/>
    </row>
    <row r="28">
      <c r="A28" s="32"/>
      <c r="B28" s="32"/>
      <c r="C28" s="32"/>
      <c r="D28" s="32"/>
      <c r="E28" s="32"/>
      <c r="F28" s="16"/>
      <c r="G28" s="16"/>
      <c r="H28" s="16"/>
    </row>
    <row r="29">
      <c r="A29" s="45" t="s">
        <v>47</v>
      </c>
      <c r="B29" s="46" t="s">
        <v>48</v>
      </c>
      <c r="C29" s="32"/>
      <c r="D29" s="32"/>
      <c r="E29" s="32"/>
    </row>
    <row r="30">
      <c r="A30" s="32"/>
      <c r="B30" s="10" t="s">
        <v>49</v>
      </c>
      <c r="C30" s="10" t="s">
        <v>24</v>
      </c>
      <c r="D30" s="10" t="s">
        <v>24</v>
      </c>
      <c r="E30" s="10" t="s">
        <v>24</v>
      </c>
    </row>
    <row r="31">
      <c r="A31" s="32"/>
      <c r="B31" s="10" t="s">
        <v>24</v>
      </c>
      <c r="C31" s="10" t="s">
        <v>24</v>
      </c>
      <c r="D31" s="10" t="s">
        <v>30</v>
      </c>
      <c r="E31" s="10" t="s">
        <v>30</v>
      </c>
    </row>
    <row r="32">
      <c r="A32" s="32"/>
      <c r="B32" s="10" t="s">
        <v>24</v>
      </c>
      <c r="C32" s="10" t="s">
        <v>24</v>
      </c>
      <c r="D32" s="10" t="s">
        <v>24</v>
      </c>
      <c r="E32" s="10" t="s">
        <v>30</v>
      </c>
    </row>
    <row r="33">
      <c r="A33" s="32"/>
      <c r="B33" s="46" t="s">
        <v>50</v>
      </c>
      <c r="C33" s="32"/>
      <c r="D33" s="32"/>
      <c r="E33" s="32"/>
    </row>
    <row r="34">
      <c r="A34" s="32"/>
      <c r="B34" s="10" t="s">
        <v>31</v>
      </c>
      <c r="C34" s="10" t="s">
        <v>26</v>
      </c>
      <c r="D34" s="10" t="s">
        <v>31</v>
      </c>
      <c r="E34" s="10" t="s">
        <v>39</v>
      </c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</sheetData>
  <mergeCells count="16">
    <mergeCell ref="A3:L3"/>
    <mergeCell ref="B5:B6"/>
    <mergeCell ref="C5:C6"/>
    <mergeCell ref="D5:D6"/>
    <mergeCell ref="F5:F6"/>
    <mergeCell ref="G5:G6"/>
    <mergeCell ref="H5:H6"/>
    <mergeCell ref="G22:N22"/>
    <mergeCell ref="G23:M23"/>
    <mergeCell ref="E5:E6"/>
    <mergeCell ref="A14:E14"/>
    <mergeCell ref="G17:M17"/>
    <mergeCell ref="G18:M18"/>
    <mergeCell ref="G19:M19"/>
    <mergeCell ref="G20:M20"/>
    <mergeCell ref="G21:N21"/>
  </mergeCells>
  <drawing r:id="rId1"/>
</worksheet>
</file>